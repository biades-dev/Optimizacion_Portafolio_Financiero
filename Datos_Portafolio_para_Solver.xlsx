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iade\OneDrive\Escritorio\Proyectos\"/>
    </mc:Choice>
  </mc:AlternateContent>
  <xr:revisionPtr revIDLastSave="0" documentId="8_{1751EA2C-4BA9-4E7A-91B4-2BD8F86FA5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tornos_Promedio" sheetId="1" r:id="rId1"/>
    <sheet name="Modelo_server" sheetId="3" r:id="rId2"/>
    <sheet name="Matriz_Covarianza" sheetId="2" r:id="rId3"/>
  </sheets>
  <definedNames>
    <definedName name="solver_adj" localSheetId="1" hidden="1">Modelo_server!$K$2:$K$6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Modelo_server!$K$7</definedName>
    <definedName name="solver_lhs2" localSheetId="1" hidden="1">Modelo_server!$N$2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Modelo_server!$N$4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2</definedName>
    <definedName name="solver_rhs1" localSheetId="1" hidden="1">1</definedName>
    <definedName name="solver_rhs2" localSheetId="1" hidden="1">0.29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3" l="1"/>
  <c r="N3" i="3" a="1"/>
  <c r="N3" i="3" s="1"/>
  <c r="N4" i="3" s="1"/>
  <c r="K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<sst xmlns="http://schemas.openxmlformats.org/spreadsheetml/2006/main" count="45" uniqueCount="18">
  <si>
    <t>Ticker</t>
  </si>
  <si>
    <t>Apple</t>
  </si>
  <si>
    <t>Amazon</t>
  </si>
  <si>
    <t>Google</t>
  </si>
  <si>
    <t>JPMorgan</t>
  </si>
  <si>
    <t>Microsoft</t>
  </si>
  <si>
    <t>Activo</t>
  </si>
  <si>
    <t>Retorno_Promedio</t>
  </si>
  <si>
    <t>Ponderaciones</t>
  </si>
  <si>
    <t>Resumen del portafolio</t>
  </si>
  <si>
    <t>Retorno Anualizado</t>
  </si>
  <si>
    <t>Varianza Anual</t>
  </si>
  <si>
    <t>Volatilidad (riesgo)</t>
  </si>
  <si>
    <t>Retorno_objetivo</t>
  </si>
  <si>
    <t>Minima Varianza</t>
  </si>
  <si>
    <t>Riesgo Mínimo</t>
  </si>
  <si>
    <t>Retorno Real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</si>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</sst>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9" fontId="0" fillId="0" borderId="0" xfId="0" applyNumberFormat="1"/>
    <xf numFmtId="9" fontId="0" fillId="0" borderId="0" xfId="0" applyNumberFormat="1" applyAlignment="1">
      <alignment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0" xfId="0" applyAlignment="1">
      <alignment horizontal="center" wrapText="1"/>
    </xf>
    <xf numFmtId="9" fontId="0" fillId="0" borderId="0" xfId="1" applyFont="1"/>
    <xf numFmtId="0" fontId="5" fillId="0" borderId="2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</cellXfs>
  <cellStyles count="2">
    <cellStyle name="Normal" xfId="0" builtinId="0"/>
    <cellStyle name="Porcentaje" xfId="1" builtinId="5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Frontera Eficiente (5 Acciones)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Modelo_server!$Q$2:$Q$6</c:f>
              <c:numCache>
                <c:formatCode>0%</c:formatCode>
                <c:ptCount val="5"/>
                <c:pt idx="0">
                  <c:v>0.25137888551320381</c:v>
                </c:pt>
                <c:pt idx="1">
                  <c:v>0.25592275367044559</c:v>
                </c:pt>
                <c:pt idx="2">
                  <c:v>0.26420245257860847</c:v>
                </c:pt>
                <c:pt idx="3">
                  <c:v>0.27723700474147472</c:v>
                </c:pt>
                <c:pt idx="4">
                  <c:v>0.29474911336151888</c:v>
                </c:pt>
              </c:numCache>
            </c:numRef>
          </c:xVal>
          <c:yVal>
            <c:numRef>
              <c:f>Modelo_server!$R$2:$R$6</c:f>
              <c:numCache>
                <c:formatCode>0%</c:formatCode>
                <c:ptCount val="5"/>
                <c:pt idx="0">
                  <c:v>0.24430330117857701</c:v>
                </c:pt>
                <c:pt idx="1">
                  <c:v>0.2600000024694798</c:v>
                </c:pt>
                <c:pt idx="2">
                  <c:v>0.26999999985380674</c:v>
                </c:pt>
                <c:pt idx="3">
                  <c:v>0.28000026903249126</c:v>
                </c:pt>
                <c:pt idx="4">
                  <c:v>0.29000027928467165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A6-439B-9BC2-038381D9C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103903"/>
        <c:axId val="665105567"/>
      </c:scatterChart>
      <c:valAx>
        <c:axId val="66510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000" b="0" i="0" u="none" strike="noStrike" baseline="0"/>
                  <a:t>Volatilidad Anual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5105567"/>
        <c:crosses val="autoZero"/>
        <c:crossBetween val="midCat"/>
      </c:valAx>
      <c:valAx>
        <c:axId val="66510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1000" b="0" i="0" u="none" strike="noStrike" baseline="0"/>
                  <a:t>Retorno Anualizado</a:t>
                </a:r>
                <a:endParaRPr lang="es-P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6510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304799</xdr:colOff>
      <xdr:row>9</xdr:row>
      <xdr:rowOff>80962</xdr:rowOff>
    </xdr:from>
    <xdr:to>
      <xdr:col>16</xdr:col>
      <xdr:colOff>466724</xdr:colOff>
      <xdr:row>25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6F6014-FCC3-4131-8A61-26D179046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24C10-9032-4601-800A-B4C8CF8EA78B}" name="Tabla1" displayName="Tabla1" ref="A1:B6" totalsRowShown="0" headerRowDxfId="5" headerRowBorderDxfId="3" tableBorderDxfId="4" totalsRowBorderDxfId="2">
  <autoFilter ref="A1:B6" xr:uid="{58F24C10-9032-4601-800A-B4C8CF8EA78B}"/>
  <tableColumns count="2">
    <tableColumn id="1" xr3:uid="{B3CBD4C9-2007-44A2-8DD2-8C1655985E9D}" name="Activo" dataDxfId="17"/>
    <tableColumn id="2" xr3:uid="{F865611D-AA31-4B5C-A259-3BB59AEA853A}" name="Retorno_Promedio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DD7CDF-30C1-464D-A7EE-F4A5C44E3C68}" name="Tabla2" displayName="Tabla2" ref="D1:I6" totalsRowShown="0" headerRowDxfId="0" headerRowBorderDxfId="14" tableBorderDxfId="15">
  <autoFilter ref="D1:I6" xr:uid="{85DD7CDF-30C1-464D-A7EE-F4A5C44E3C68}"/>
  <tableColumns count="6">
    <tableColumn id="1" xr3:uid="{173D3CC0-5287-4404-911B-529AE20FD2F6}" name="Ticker" dataDxfId="13"/>
    <tableColumn id="2" xr3:uid="{50B504C7-EAEB-4297-A067-8B1C8F64A7F3}" name="Apple"/>
    <tableColumn id="3" xr3:uid="{18E729AE-22BE-48EE-AA91-C0BBF12D1C6F}" name="Amazon"/>
    <tableColumn id="4" xr3:uid="{3BC08F4D-5764-493F-8D67-0B49D8254ABA}" name="Google"/>
    <tableColumn id="5" xr3:uid="{5DF92CC0-F6BB-4C70-B969-EBF9E6B7ED9C}" name="JPMorgan"/>
    <tableColumn id="6" xr3:uid="{D731339E-4FD5-498D-B56D-F9CDAF7C3B35}" name="Microsof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680863-12C4-454D-BDD3-538B93CBD507}" name="Tabla3" displayName="Tabla3" ref="K1:K7" totalsRowShown="0" headerRowDxfId="1">
  <autoFilter ref="K1:K7" xr:uid="{4F680863-12C4-454D-BDD3-538B93CBD507}"/>
  <tableColumns count="1">
    <tableColumn id="1" xr3:uid="{B659E505-DF35-4F4E-8A0A-AA1B50E62819}" name="Ponderaciones" dataDxfId="1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4BE875-3318-426B-924D-5877FBE8141C}" name="Tabla4" displayName="Tabla4" ref="M1:N4" totalsRowShown="0" headerRowDxfId="10">
  <autoFilter ref="M1:N4" xr:uid="{524BE875-3318-426B-924D-5877FBE8141C}"/>
  <tableColumns count="2">
    <tableColumn id="1" xr3:uid="{9A2F6C83-01D7-464F-AA09-0F529708E980}" name="Resumen del portafolio" dataDxfId="11"/>
    <tableColumn id="2" xr3:uid="{27912C22-5376-4694-BD02-4AAC516DC266}" name="%" dataCellStyle="Porcentaj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2AE7DB-B4C4-4741-AFCA-76965D8DA53D}" name="Tabla6" displayName="Tabla6" ref="P1:R6" totalsRowShown="0" headerRowDxfId="6">
  <autoFilter ref="P1:R6" xr:uid="{062AE7DB-B4C4-4741-AFCA-76965D8DA53D}"/>
  <tableColumns count="3">
    <tableColumn id="1" xr3:uid="{4F2DD87A-81D8-4E19-8811-B96B4B94D3F6}" name="Retorno_objetivo" dataDxfId="9"/>
    <tableColumn id="2" xr3:uid="{B3EDD141-3035-4FAB-AA85-B842942719C4}" name="Riesgo Mínimo" dataDxfId="8" dataCellStyle="Porcentaje"/>
    <tableColumn id="3" xr3:uid="{BEE73D67-63B5-45FD-A76F-1458687330AA}" name="Retorno Real" dataDxfId="7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P6" sqref="P6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>
        <v>0</v>
      </c>
    </row>
    <row r="2" spans="1:2" x14ac:dyDescent="0.25">
      <c r="A2" s="1" t="s">
        <v>1</v>
      </c>
      <c r="B2">
        <v>0.27782349835934422</v>
      </c>
    </row>
    <row r="3" spans="1:2" x14ac:dyDescent="0.25">
      <c r="A3" s="1" t="s">
        <v>2</v>
      </c>
      <c r="B3">
        <v>0.2269865172749799</v>
      </c>
    </row>
    <row r="4" spans="1:2" x14ac:dyDescent="0.25">
      <c r="A4" s="1" t="s">
        <v>3</v>
      </c>
      <c r="B4">
        <v>0.29703527481275721</v>
      </c>
    </row>
    <row r="5" spans="1:2" x14ac:dyDescent="0.25">
      <c r="A5" s="1" t="s">
        <v>4</v>
      </c>
      <c r="B5">
        <v>0.21410991122941281</v>
      </c>
    </row>
    <row r="6" spans="1:2" x14ac:dyDescent="0.25">
      <c r="A6" s="1" t="s">
        <v>5</v>
      </c>
      <c r="B6">
        <v>0.25419266539824692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CFF6-DDBD-4B5E-91DA-2B6F4478D2D2}">
  <dimension ref="A1:R7"/>
  <sheetViews>
    <sheetView tabSelected="1" workbookViewId="0">
      <selection activeCell="R16" sqref="R16"/>
    </sheetView>
  </sheetViews>
  <sheetFormatPr baseColWidth="10" defaultRowHeight="15" x14ac:dyDescent="0.25"/>
  <cols>
    <col min="1" max="1" width="11.42578125" style="2"/>
    <col min="2" max="2" width="20" customWidth="1"/>
    <col min="8" max="8" width="11.85546875" customWidth="1"/>
    <col min="9" max="9" width="11.7109375" customWidth="1"/>
    <col min="11" max="11" width="16.28515625" customWidth="1"/>
    <col min="13" max="13" width="24" customWidth="1"/>
    <col min="14" max="14" width="12" customWidth="1"/>
    <col min="16" max="16" width="18.7109375" customWidth="1"/>
    <col min="17" max="17" width="16.42578125" customWidth="1"/>
    <col min="18" max="18" width="14.5703125" customWidth="1"/>
  </cols>
  <sheetData>
    <row r="1" spans="1:18" ht="45" customHeight="1" x14ac:dyDescent="0.25">
      <c r="A1" s="9" t="s">
        <v>6</v>
      </c>
      <c r="B1" s="10" t="s">
        <v>7</v>
      </c>
      <c r="C1" s="3"/>
      <c r="D1" s="16" t="s">
        <v>0</v>
      </c>
      <c r="E1" s="17" t="s">
        <v>1</v>
      </c>
      <c r="F1" s="17" t="s">
        <v>2</v>
      </c>
      <c r="G1" s="17" t="s">
        <v>3</v>
      </c>
      <c r="H1" s="17" t="s">
        <v>4</v>
      </c>
      <c r="I1" s="17" t="s">
        <v>5</v>
      </c>
      <c r="K1" s="15" t="s">
        <v>8</v>
      </c>
      <c r="M1" s="13" t="s">
        <v>9</v>
      </c>
      <c r="N1" s="13" t="s">
        <v>17</v>
      </c>
      <c r="P1" s="2" t="s">
        <v>13</v>
      </c>
      <c r="Q1" s="2" t="s">
        <v>15</v>
      </c>
      <c r="R1" s="2" t="s">
        <v>16</v>
      </c>
    </row>
    <row r="2" spans="1:18" x14ac:dyDescent="0.25">
      <c r="A2" s="7" t="s">
        <v>1</v>
      </c>
      <c r="B2" s="8">
        <v>0.27782349835934422</v>
      </c>
      <c r="C2" s="4"/>
      <c r="D2" s="7" t="s">
        <v>1</v>
      </c>
      <c r="E2">
        <v>0.10350964061771289</v>
      </c>
      <c r="F2">
        <v>6.8292340855667225E-2</v>
      </c>
      <c r="G2">
        <v>6.5800121819505467E-2</v>
      </c>
      <c r="H2">
        <v>4.3247251768995312E-2</v>
      </c>
      <c r="I2">
        <v>6.845233415748346E-2</v>
      </c>
      <c r="K2" s="5">
        <v>0.13646397855990536</v>
      </c>
      <c r="M2" s="2" t="s">
        <v>10</v>
      </c>
      <c r="N2" s="14">
        <f>SUMPRODUCT(B2:B6, K2:K6)</f>
        <v>0.24430330117857701</v>
      </c>
      <c r="P2" s="2" t="s">
        <v>14</v>
      </c>
      <c r="Q2" s="14">
        <v>0.25137888551320381</v>
      </c>
      <c r="R2" s="14">
        <v>0.24430330117857701</v>
      </c>
    </row>
    <row r="3" spans="1:18" x14ac:dyDescent="0.25">
      <c r="A3" s="7" t="s">
        <v>2</v>
      </c>
      <c r="B3" s="8">
        <v>0.2269865172749799</v>
      </c>
      <c r="D3" s="7" t="s">
        <v>2</v>
      </c>
      <c r="E3">
        <v>6.8292340855667225E-2</v>
      </c>
      <c r="F3">
        <v>0.1291565915350871</v>
      </c>
      <c r="G3">
        <v>7.3907783325028314E-2</v>
      </c>
      <c r="H3">
        <v>3.4111941783350731E-2</v>
      </c>
      <c r="I3">
        <v>7.1554517417761546E-2</v>
      </c>
      <c r="K3" s="5">
        <v>0.10776630008834669</v>
      </c>
      <c r="M3" s="2" t="s">
        <v>11</v>
      </c>
      <c r="N3" s="14" cm="1">
        <f t="array" ref="N3">MMULT(TRANSPOSE(K2:K6),  MMULT(E2:I6, K2:K6))</f>
        <v>6.3191344081860432E-2</v>
      </c>
      <c r="P3" s="6">
        <v>0.26</v>
      </c>
      <c r="Q3" s="14">
        <v>0.25592275367044559</v>
      </c>
      <c r="R3" s="14">
        <v>0.2600000024694798</v>
      </c>
    </row>
    <row r="4" spans="1:18" x14ac:dyDescent="0.25">
      <c r="A4" s="7" t="s">
        <v>3</v>
      </c>
      <c r="B4" s="8">
        <v>0.29703527481275721</v>
      </c>
      <c r="D4" s="7" t="s">
        <v>3</v>
      </c>
      <c r="E4">
        <v>6.5800121819505467E-2</v>
      </c>
      <c r="F4">
        <v>7.3907783325028314E-2</v>
      </c>
      <c r="G4">
        <v>0.1056792771246514</v>
      </c>
      <c r="H4">
        <v>4.1940062216148592E-2</v>
      </c>
      <c r="I4">
        <v>6.9092884578777283E-2</v>
      </c>
      <c r="K4" s="5">
        <v>0.12249471288770737</v>
      </c>
      <c r="M4" s="2" t="s">
        <v>12</v>
      </c>
      <c r="N4" s="14">
        <f>SQRT(N3)</f>
        <v>0.25137888551320381</v>
      </c>
      <c r="P4" s="5">
        <v>0.27</v>
      </c>
      <c r="Q4" s="14">
        <v>0.26420245257860847</v>
      </c>
      <c r="R4" s="14">
        <v>0.26999999985380674</v>
      </c>
    </row>
    <row r="5" spans="1:18" x14ac:dyDescent="0.25">
      <c r="A5" s="7" t="s">
        <v>4</v>
      </c>
      <c r="B5" s="8">
        <v>0.21410991122941281</v>
      </c>
      <c r="D5" s="7" t="s">
        <v>4</v>
      </c>
      <c r="E5">
        <v>4.3247251768995312E-2</v>
      </c>
      <c r="F5">
        <v>3.4111941783350731E-2</v>
      </c>
      <c r="G5">
        <v>4.1940062216148592E-2</v>
      </c>
      <c r="H5">
        <v>9.9705208501110268E-2</v>
      </c>
      <c r="I5">
        <v>4.0648608992740531E-2</v>
      </c>
      <c r="K5" s="5">
        <v>0.38495866459530331</v>
      </c>
      <c r="P5" s="5">
        <v>0.28000000000000003</v>
      </c>
      <c r="Q5" s="14">
        <v>0.27723700474147472</v>
      </c>
      <c r="R5" s="14">
        <v>0.28000026903249126</v>
      </c>
    </row>
    <row r="6" spans="1:18" x14ac:dyDescent="0.25">
      <c r="A6" s="11" t="s">
        <v>5</v>
      </c>
      <c r="B6" s="12">
        <v>0.25419266539824692</v>
      </c>
      <c r="D6" s="7" t="s">
        <v>5</v>
      </c>
      <c r="E6">
        <v>6.845233415748346E-2</v>
      </c>
      <c r="F6">
        <v>7.1554517417761546E-2</v>
      </c>
      <c r="G6">
        <v>6.9092884578777283E-2</v>
      </c>
      <c r="H6">
        <v>4.0648608992740531E-2</v>
      </c>
      <c r="I6">
        <v>8.8706857305979991E-2</v>
      </c>
      <c r="K6" s="5">
        <v>0.2483163226219392</v>
      </c>
      <c r="P6" s="5">
        <v>0.28999999999999998</v>
      </c>
      <c r="Q6" s="14">
        <v>0.29474911336151888</v>
      </c>
      <c r="R6" s="14">
        <v>0.29000027928467165</v>
      </c>
    </row>
    <row r="7" spans="1:18" x14ac:dyDescent="0.25">
      <c r="K7" s="5">
        <f>SUM(K2:K6)</f>
        <v>0.9999999787532019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P6" sqref="P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</v>
      </c>
      <c r="B2">
        <v>0.10350964061771289</v>
      </c>
      <c r="C2">
        <v>6.8292340855667225E-2</v>
      </c>
      <c r="D2">
        <v>6.5800121819505467E-2</v>
      </c>
      <c r="E2">
        <v>4.3247251768995312E-2</v>
      </c>
      <c r="F2">
        <v>6.845233415748346E-2</v>
      </c>
    </row>
    <row r="3" spans="1:6" x14ac:dyDescent="0.25">
      <c r="A3" s="1" t="s">
        <v>2</v>
      </c>
      <c r="B3">
        <v>6.8292340855667225E-2</v>
      </c>
      <c r="C3">
        <v>0.1291565915350871</v>
      </c>
      <c r="D3">
        <v>7.3907783325028314E-2</v>
      </c>
      <c r="E3">
        <v>3.4111941783350731E-2</v>
      </c>
      <c r="F3">
        <v>7.1554517417761546E-2</v>
      </c>
    </row>
    <row r="4" spans="1:6" x14ac:dyDescent="0.25">
      <c r="A4" s="1" t="s">
        <v>3</v>
      </c>
      <c r="B4">
        <v>6.5800121819505467E-2</v>
      </c>
      <c r="C4">
        <v>7.3907783325028314E-2</v>
      </c>
      <c r="D4">
        <v>0.1056792771246514</v>
      </c>
      <c r="E4">
        <v>4.1940062216148592E-2</v>
      </c>
      <c r="F4">
        <v>6.9092884578777283E-2</v>
      </c>
    </row>
    <row r="5" spans="1:6" x14ac:dyDescent="0.25">
      <c r="A5" s="1" t="s">
        <v>4</v>
      </c>
      <c r="B5">
        <v>4.3247251768995312E-2</v>
      </c>
      <c r="C5">
        <v>3.4111941783350731E-2</v>
      </c>
      <c r="D5">
        <v>4.1940062216148592E-2</v>
      </c>
      <c r="E5">
        <v>9.9705208501110268E-2</v>
      </c>
      <c r="F5">
        <v>4.0648608992740531E-2</v>
      </c>
    </row>
    <row r="6" spans="1:6" x14ac:dyDescent="0.25">
      <c r="A6" s="1" t="s">
        <v>5</v>
      </c>
      <c r="B6">
        <v>6.845233415748346E-2</v>
      </c>
      <c r="C6">
        <v>7.1554517417761546E-2</v>
      </c>
      <c r="D6">
        <v>6.9092884578777283E-2</v>
      </c>
      <c r="E6">
        <v>4.0648608992740531E-2</v>
      </c>
      <c r="F6">
        <v>8.8706857305979991E-2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Retornos_Promedio</vt:lpstr>
      <vt:lpstr>Modelo_server</vt:lpstr>
      <vt:lpstr>Matriz_Covarianza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Alcibiades Palestini Sifuentes</cp:lastModifiedBy>
  <dcterms:created xsi:type="dcterms:W3CDTF">2025-11-02T19:21:38Z</dcterms:created>
  <dcterms:modified xsi:type="dcterms:W3CDTF">2025-11-02T21:29:01Z</dcterms:modified>
</cp:coreProperties>
</file>